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mr\Downloads\"/>
    </mc:Choice>
  </mc:AlternateContent>
  <xr:revisionPtr revIDLastSave="0" documentId="13_ncr:1_{49875EED-0F57-4366-9ACC-C7D0EEDE5758}" xr6:coauthVersionLast="36" xr6:coauthVersionMax="36" xr10:uidLastSave="{00000000-0000-0000-0000-000000000000}"/>
  <workbookProtection lockStructure="1"/>
  <bookViews>
    <workbookView xWindow="0" yWindow="0" windowWidth="24000" windowHeight="11640" xr2:uid="{00000000-000D-0000-FFFF-FFFF00000000}"/>
  </bookViews>
  <sheets>
    <sheet name="Sheet1" sheetId="1" r:id="rId1"/>
  </sheets>
  <definedNames>
    <definedName name="_xlnm.Print_Area" localSheetId="0">Sheet1!$A$1:$I$46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4" i="1" l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F44" i="1" l="1"/>
  <c r="F24" i="1" l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7" i="1"/>
  <c r="B33" i="1" l="1"/>
  <c r="B34" i="1"/>
  <c r="B35" i="1"/>
  <c r="B36" i="1"/>
  <c r="B37" i="1"/>
  <c r="B38" i="1"/>
  <c r="B39" i="1"/>
  <c r="B40" i="1"/>
  <c r="B41" i="1"/>
  <c r="B42" i="1"/>
  <c r="B43" i="1"/>
  <c r="B7" i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5" i="1"/>
  <c r="A43" i="1"/>
  <c r="A18" i="1"/>
  <c r="H18" i="1"/>
  <c r="H9" i="1"/>
  <c r="H10" i="1"/>
  <c r="H11" i="1"/>
  <c r="H12" i="1"/>
  <c r="H13" i="1"/>
  <c r="H14" i="1"/>
  <c r="H15" i="1"/>
  <c r="H16" i="1"/>
  <c r="H17" i="1"/>
  <c r="H19" i="1"/>
  <c r="H20" i="1"/>
  <c r="H21" i="1"/>
  <c r="H22" i="1"/>
  <c r="H23" i="1"/>
  <c r="H24" i="1"/>
  <c r="H25" i="1"/>
  <c r="H26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" i="1"/>
  <c r="H7" i="1"/>
  <c r="H8" i="1"/>
  <c r="H6" i="1"/>
  <c r="F6" i="1"/>
  <c r="F5" i="1"/>
  <c r="H4" i="1" l="1"/>
  <c r="H45" i="1" s="1"/>
  <c r="H46" i="1" l="1"/>
  <c r="L3" i="1" s="1"/>
  <c r="L2" i="1"/>
</calcChain>
</file>

<file path=xl/sharedStrings.xml><?xml version="1.0" encoding="utf-8"?>
<sst xmlns="http://schemas.openxmlformats.org/spreadsheetml/2006/main" count="22" uniqueCount="15">
  <si>
    <t>距離</t>
    <rPh sb="0" eb="2">
      <t>キョリ</t>
    </rPh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</si>
  <si>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</si>
  <si>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</si>
  <si>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測点名</t>
    <rPh sb="0" eb="2">
      <t>ソクテン</t>
    </rPh>
    <rPh sb="2" eb="3">
      <t>メイ</t>
    </rPh>
    <phoneticPr fontId="1"/>
  </si>
  <si>
    <t>倍面積</t>
    <rPh sb="0" eb="1">
      <t>バイ</t>
    </rPh>
    <rPh sb="1" eb="3">
      <t>メンセキ</t>
    </rPh>
    <phoneticPr fontId="1"/>
  </si>
  <si>
    <t>面積</t>
    <rPh sb="0" eb="2">
      <t>メンセキ</t>
    </rPh>
    <phoneticPr fontId="1"/>
  </si>
  <si>
    <t>----</t>
    <phoneticPr fontId="1"/>
  </si>
  <si>
    <t>座標面積計算書</t>
    <rPh sb="0" eb="2">
      <t>ザヒョウ</t>
    </rPh>
    <rPh sb="2" eb="4">
      <t>メンセキ</t>
    </rPh>
    <rPh sb="4" eb="7">
      <t>ケイサンショ</t>
    </rPh>
    <phoneticPr fontId="1"/>
  </si>
  <si>
    <t>地番</t>
    <rPh sb="0" eb="2">
      <t>チバン</t>
    </rPh>
    <phoneticPr fontId="1"/>
  </si>
  <si>
    <t>Copyright (c) 2015 Hiroyuki Kimura</t>
    <phoneticPr fontId="1"/>
  </si>
  <si>
    <t>Released under the MIT license</t>
    <phoneticPr fontId="1"/>
  </si>
  <si>
    <t>http://opensource.org/licenses/mit-license.php</t>
    <phoneticPr fontId="1"/>
  </si>
  <si>
    <r>
      <t>Y</t>
    </r>
    <r>
      <rPr>
        <sz val="8"/>
        <rFont val="ＭＳ ゴシック"/>
        <family val="3"/>
        <charset val="128"/>
      </rPr>
      <t>n+1</t>
    </r>
    <r>
      <rPr>
        <sz val="11"/>
        <rFont val="ＭＳ ゴシック"/>
        <family val="3"/>
        <charset val="128"/>
      </rPr>
      <t>-Y</t>
    </r>
    <r>
      <rPr>
        <sz val="8"/>
        <rFont val="ＭＳ ゴシック"/>
        <family val="3"/>
        <charset val="128"/>
      </rPr>
      <t>n-1</t>
    </r>
    <phoneticPr fontId="1"/>
  </si>
  <si>
    <t>----</t>
  </si>
  <si>
    <r>
      <t>Xn(Y</t>
    </r>
    <r>
      <rPr>
        <sz val="8"/>
        <rFont val="ＭＳ ゴシック"/>
        <family val="3"/>
        <charset val="128"/>
      </rPr>
      <t>n+1</t>
    </r>
    <r>
      <rPr>
        <sz val="11"/>
        <rFont val="ＭＳ ゴシック"/>
        <family val="3"/>
        <charset val="128"/>
      </rPr>
      <t>-Y</t>
    </r>
    <r>
      <rPr>
        <sz val="8"/>
        <rFont val="ＭＳ ゴシック"/>
        <family val="3"/>
        <charset val="128"/>
      </rPr>
      <t>n-1</t>
    </r>
    <r>
      <rPr>
        <sz val="11"/>
        <rFont val="ＭＳ ゴシック"/>
        <family val="3"/>
        <charset val="128"/>
      </rPr>
      <t>)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</si>
</sst>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_ "/>
    <numFmt numFmtId="177" formatCode="0.0000_ "/>
    <numFmt numFmtId="178" formatCode="0.000000_ "/>
    <numFmt numFmtId="179" formatCode="0.0000000_ "/>
    <numFmt numFmtId="180" formatCode="0.000000_ &quot; &quot;"/>
  </numFmts>
  <fonts count="8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u/>
      <sz val="11"/>
      <color theme="10"/>
      <name val="ＭＳ Ｐゴシック"/>
      <family val="2"/>
      <charset val="128"/>
    </font>
    <font>
      <sz val="11"/>
      <name val="ＭＳ ゴシック"/>
      <family val="3"/>
      <charset val="128"/>
    </font>
    <font>
      <sz val="11"/>
      <color rgb="FFFF0000"/>
      <name val="ＭＳ ゴシック"/>
      <family val="3"/>
      <charset val="128"/>
    </font>
    <font>
      <sz val="20"/>
      <name val="ＭＳ ゴシック"/>
      <family val="3"/>
      <charset val="128"/>
    </font>
    <font>
      <sz val="8"/>
      <name val="ＭＳ ゴシック"/>
      <family val="3"/>
      <charset val="128"/>
    </font>
    <font>
      <u/>
      <sz val="11"/>
      <color theme="1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6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179" fontId="3" fillId="0" borderId="20" xfId="0" applyNumberFormat="1" applyFont="1" applyFill="1" applyBorder="1" applyProtection="1">
      <alignment vertical="center"/>
      <protection hidden="1"/>
    </xf>
    <xf numFmtId="178" fontId="3" fillId="0" borderId="0" xfId="0" applyNumberFormat="1" applyFont="1" applyFill="1" applyProtection="1">
      <alignment vertical="center"/>
      <protection hidden="1"/>
    </xf>
    <xf numFmtId="179" fontId="3" fillId="0" borderId="0" xfId="0" applyNumberFormat="1" applyFont="1" applyFill="1" applyProtection="1">
      <alignment vertical="center"/>
      <protection hidden="1"/>
    </xf>
    <xf numFmtId="180" fontId="3" fillId="0" borderId="19" xfId="0" applyNumberFormat="1" applyFont="1" applyFill="1" applyBorder="1" applyProtection="1">
      <alignment vertical="center"/>
      <protection hidden="1"/>
    </xf>
    <xf numFmtId="180" fontId="3" fillId="0" borderId="0" xfId="0" applyNumberFormat="1" applyFont="1" applyFill="1" applyProtection="1">
      <alignment vertical="center"/>
      <protection hidden="1"/>
    </xf>
    <xf numFmtId="0" fontId="4" fillId="0" borderId="0" xfId="0" applyFont="1" applyFill="1" applyAlignment="1" applyProtection="1">
      <alignment horizontal="center" vertical="center"/>
      <protection hidden="1"/>
    </xf>
    <xf numFmtId="0" fontId="3" fillId="0" borderId="0" xfId="0" applyFont="1" applyFill="1" applyProtection="1">
      <alignment vertical="center"/>
      <protection hidden="1"/>
    </xf>
    <xf numFmtId="0" fontId="3" fillId="0" borderId="0" xfId="0" applyFont="1" applyFill="1" applyAlignment="1" applyProtection="1">
      <alignment vertical="center" wrapText="1"/>
      <protection hidden="1"/>
    </xf>
    <xf numFmtId="0" fontId="3" fillId="0" borderId="0" xfId="0" applyFont="1" applyFill="1" applyAlignment="1" applyProtection="1">
      <alignment horizontal="center" vertical="center"/>
      <protection hidden="1"/>
    </xf>
    <xf numFmtId="176" fontId="3" fillId="0" borderId="17" xfId="0" applyNumberFormat="1" applyFont="1" applyFill="1" applyBorder="1" applyAlignment="1" applyProtection="1">
      <alignment horizontal="center" vertical="center"/>
      <protection hidden="1"/>
    </xf>
    <xf numFmtId="177" fontId="3" fillId="0" borderId="17" xfId="0" applyNumberFormat="1" applyFont="1" applyFill="1" applyBorder="1" applyAlignment="1" applyProtection="1">
      <alignment horizontal="center" vertical="center"/>
      <protection hidden="1"/>
    </xf>
    <xf numFmtId="178" fontId="3" fillId="0" borderId="18" xfId="0" applyNumberFormat="1" applyFont="1" applyFill="1" applyBorder="1" applyAlignment="1" applyProtection="1">
      <alignment horizontal="center" vertical="center"/>
      <protection hidden="1"/>
    </xf>
    <xf numFmtId="0" fontId="7" fillId="0" borderId="0" xfId="1" applyFont="1" applyFill="1" applyProtection="1">
      <alignment vertical="center"/>
      <protection hidden="1"/>
    </xf>
    <xf numFmtId="0" fontId="3" fillId="0" borderId="3" xfId="0" applyFont="1" applyFill="1" applyBorder="1" applyProtection="1">
      <alignment vertical="center"/>
      <protection hidden="1"/>
    </xf>
    <xf numFmtId="0" fontId="3" fillId="0" borderId="4" xfId="0" applyFont="1" applyFill="1" applyBorder="1" applyProtection="1">
      <alignment vertical="center"/>
      <protection hidden="1"/>
    </xf>
    <xf numFmtId="176" fontId="3" fillId="0" borderId="4" xfId="0" applyNumberFormat="1" applyFont="1" applyFill="1" applyBorder="1" applyProtection="1">
      <alignment vertical="center"/>
      <protection hidden="1"/>
    </xf>
    <xf numFmtId="176" fontId="3" fillId="0" borderId="16" xfId="0" applyNumberFormat="1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Protection="1">
      <alignment vertical="center"/>
      <protection hidden="1"/>
    </xf>
    <xf numFmtId="0" fontId="3" fillId="0" borderId="7" xfId="0" applyFont="1" applyFill="1" applyBorder="1" applyProtection="1">
      <alignment vertical="center"/>
      <protection hidden="1"/>
    </xf>
    <xf numFmtId="176" fontId="3" fillId="0" borderId="7" xfId="0" applyNumberFormat="1" applyFont="1" applyFill="1" applyBorder="1" applyProtection="1">
      <alignment vertical="center"/>
      <protection hidden="1"/>
    </xf>
    <xf numFmtId="0" fontId="3" fillId="0" borderId="8" xfId="0" applyFont="1" applyFill="1" applyBorder="1" applyProtection="1">
      <alignment vertical="center"/>
      <protection hidden="1"/>
    </xf>
    <xf numFmtId="176" fontId="3" fillId="0" borderId="21" xfId="0" applyNumberFormat="1" applyFont="1" applyFill="1" applyBorder="1" applyAlignment="1" applyProtection="1">
      <alignment horizontal="center" vertical="center"/>
      <protection hidden="1"/>
    </xf>
    <xf numFmtId="176" fontId="3" fillId="0" borderId="0" xfId="0" applyNumberFormat="1" applyFont="1" applyFill="1" applyProtection="1">
      <alignment vertical="center"/>
      <protection hidden="1"/>
    </xf>
    <xf numFmtId="177" fontId="3" fillId="0" borderId="0" xfId="0" applyNumberFormat="1" applyFont="1" applyFill="1" applyProtection="1">
      <alignment vertical="center"/>
      <protection hidden="1"/>
    </xf>
    <xf numFmtId="176" fontId="3" fillId="0" borderId="5" xfId="0" applyNumberFormat="1" applyFont="1" applyFill="1" applyBorder="1" applyProtection="1">
      <alignment vertical="center"/>
      <protection hidden="1"/>
    </xf>
    <xf numFmtId="0" fontId="3" fillId="0" borderId="14" xfId="0" applyFont="1" applyFill="1" applyBorder="1" applyAlignment="1" applyProtection="1">
      <protection hidden="1"/>
    </xf>
    <xf numFmtId="176" fontId="3" fillId="0" borderId="1" xfId="0" applyNumberFormat="1" applyFont="1" applyFill="1" applyBorder="1" applyAlignment="1" applyProtection="1">
      <protection hidden="1"/>
    </xf>
    <xf numFmtId="178" fontId="3" fillId="0" borderId="15" xfId="0" applyNumberFormat="1" applyFont="1" applyFill="1" applyBorder="1" applyAlignment="1" applyProtection="1">
      <protection hidden="1"/>
    </xf>
    <xf numFmtId="0" fontId="3" fillId="0" borderId="12" xfId="0" applyFont="1" applyFill="1" applyBorder="1" applyAlignment="1" applyProtection="1">
      <protection hidden="1"/>
    </xf>
    <xf numFmtId="176" fontId="3" fillId="0" borderId="2" xfId="0" applyNumberFormat="1" applyFont="1" applyFill="1" applyBorder="1" applyAlignment="1" applyProtection="1">
      <protection hidden="1"/>
    </xf>
    <xf numFmtId="178" fontId="3" fillId="0" borderId="13" xfId="0" applyNumberFormat="1" applyFont="1" applyFill="1" applyBorder="1" applyAlignment="1" applyProtection="1">
      <protection hidden="1"/>
    </xf>
    <xf numFmtId="49" fontId="3" fillId="2" borderId="1" xfId="0" applyNumberFormat="1" applyFont="1" applyFill="1" applyBorder="1" applyAlignment="1" applyProtection="1">
      <protection locked="0"/>
    </xf>
    <xf numFmtId="176" fontId="3" fillId="2" borderId="1" xfId="0" applyNumberFormat="1" applyFont="1" applyFill="1" applyBorder="1" applyAlignment="1" applyProtection="1">
      <protection locked="0"/>
    </xf>
    <xf numFmtId="49" fontId="3" fillId="2" borderId="2" xfId="0" applyNumberFormat="1" applyFont="1" applyFill="1" applyBorder="1" applyAlignment="1" applyProtection="1">
      <protection locked="0"/>
    </xf>
    <xf numFmtId="176" fontId="3" fillId="2" borderId="2" xfId="0" applyNumberFormat="1" applyFont="1" applyFill="1" applyBorder="1" applyAlignment="1" applyProtection="1">
      <protection locked="0"/>
    </xf>
    <xf numFmtId="0" fontId="3" fillId="0" borderId="1" xfId="0" quotePrefix="1" applyFont="1" applyFill="1" applyBorder="1" applyAlignment="1" applyProtection="1">
      <alignment horizontal="center"/>
      <protection hidden="1"/>
    </xf>
    <xf numFmtId="176" fontId="3" fillId="0" borderId="23" xfId="0" applyNumberFormat="1" applyFont="1" applyFill="1" applyBorder="1" applyAlignment="1" applyProtection="1">
      <protection hidden="1"/>
    </xf>
    <xf numFmtId="0" fontId="3" fillId="0" borderId="24" xfId="0" quotePrefix="1" applyFont="1" applyFill="1" applyBorder="1" applyAlignment="1" applyProtection="1">
      <alignment horizontal="center"/>
      <protection hidden="1"/>
    </xf>
    <xf numFmtId="0" fontId="3" fillId="0" borderId="25" xfId="0" quotePrefix="1" applyFont="1" applyFill="1" applyBorder="1" applyAlignment="1" applyProtection="1">
      <alignment horizontal="center"/>
      <protection hidden="1"/>
    </xf>
    <xf numFmtId="0" fontId="3" fillId="0" borderId="2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 applyProtection="1">
      <alignment horizontal="center" vertical="center"/>
      <protection hidden="1"/>
    </xf>
    <xf numFmtId="0" fontId="3" fillId="0" borderId="16" xfId="0" applyFont="1" applyFill="1" applyBorder="1" applyAlignment="1" applyProtection="1">
      <alignment horizontal="center" vertical="center"/>
      <protection hidden="1"/>
    </xf>
    <xf numFmtId="0" fontId="3" fillId="0" borderId="17" xfId="0" applyFont="1" applyFill="1" applyBorder="1" applyAlignment="1" applyProtection="1">
      <alignment horizontal="center" vertical="center"/>
      <protection hidden="1"/>
    </xf>
    <xf numFmtId="0" fontId="3" fillId="0" borderId="9" xfId="0" applyFont="1" applyFill="1" applyBorder="1" applyAlignment="1" applyProtection="1">
      <alignment horizontal="center" vertical="center"/>
      <protection hidden="1"/>
    </xf>
    <xf numFmtId="0" fontId="3" fillId="0" borderId="10" xfId="0" applyFont="1" applyFill="1" applyBorder="1" applyAlignment="1" applyProtection="1">
      <alignment horizontal="center" vertical="center"/>
      <protection hidden="1"/>
    </xf>
    <xf numFmtId="49" fontId="3" fillId="2" borderId="10" xfId="0" applyNumberFormat="1" applyFont="1" applyFill="1" applyBorder="1" applyAlignment="1" applyProtection="1">
      <alignment horizontal="left" vertical="center" indent="1"/>
      <protection locked="0"/>
    </xf>
    <xf numFmtId="49" fontId="3" fillId="2" borderId="11" xfId="0" applyNumberFormat="1" applyFont="1" applyFill="1" applyBorder="1" applyAlignment="1" applyProtection="1">
      <alignment horizontal="left" vertical="center" indent="1"/>
      <protection locked="0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238125</xdr:colOff>
      <xdr:row>0</xdr:row>
      <xdr:rowOff>57150</xdr:rowOff>
    </xdr:from>
    <xdr:to>
      <xdr:col>11</xdr:col>
      <xdr:colOff>542925</xdr:colOff>
      <xdr:row>0</xdr:row>
      <xdr:rowOff>390525</xdr:rowOff>
    </xdr:to>
    <xdr:sp macro="[0]!ThisWorkbook.output_SIMA" textlink="">
      <xdr:nvSpPr>
        <xdr:cNvPr id="2" name="右矢印吹き出し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05625" y="57150"/>
          <a:ext cx="1676400" cy="333375"/>
        </a:xfrm>
        <a:prstGeom prst="rightArrowCallout">
          <a:avLst>
            <a:gd name="adj1" fmla="val 25000"/>
            <a:gd name="adj2" fmla="val 25000"/>
            <a:gd name="adj3" fmla="val 25000"/>
            <a:gd name="adj4" fmla="val 86568"/>
          </a:avLst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en-US" altLang="ja-JP" sz="1100" b="1">
              <a:solidFill>
                <a:sysClr val="windowText" lastClr="000000"/>
              </a:solidFill>
            </a:rPr>
            <a:t>SIMA</a:t>
          </a:r>
          <a:r>
            <a:rPr kumimoji="1" lang="ja-JP" altLang="en-US" sz="1100" b="1">
              <a:solidFill>
                <a:sysClr val="windowText" lastClr="000000"/>
              </a:solidFill>
            </a:rPr>
            <a:t>ファイルに出力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opensource.org/licenses/mit-license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7"/>
  <sheetViews>
    <sheetView tabSelected="1" zoomScaleNormal="100" workbookViewId="0">
      <pane ySplit="4" topLeftCell="A5" activePane="bottomLeft" state="frozen"/>
      <selection pane="bottomLeft" activeCell="C4" sqref="C4"/>
    </sheetView>
  </sheetViews>
  <sheetFormatPr defaultRowHeight="13.5" x14ac:dyDescent="0.15"/>
  <cols>
    <col min="1" max="1" width="3.625" style="6" customWidth="1"/>
    <col min="2" max="2" width="5.25" style="7" customWidth="1"/>
    <col min="3" max="3" width="9" style="7"/>
    <col min="4" max="5" width="13.125" style="23" bestFit="1" customWidth="1"/>
    <col min="6" max="6" width="9.5" style="7" bestFit="1" customWidth="1"/>
    <col min="7" max="7" width="10.875" style="23" bestFit="1" customWidth="1"/>
    <col min="8" max="8" width="19.375" style="2" bestFit="1" customWidth="1"/>
    <col min="9" max="9" width="3.625" style="7" customWidth="1"/>
    <col min="10" max="11" width="9" style="7"/>
    <col min="12" max="12" width="19.375" style="7" customWidth="1"/>
    <col min="13" max="16384" width="9" style="7"/>
  </cols>
  <sheetData>
    <row r="1" spans="1:12" ht="35.1" customHeight="1" thickBot="1" x14ac:dyDescent="0.2">
      <c r="B1" s="41" t="s">
        <v>7</v>
      </c>
      <c r="C1" s="41"/>
      <c r="D1" s="41"/>
      <c r="E1" s="41"/>
      <c r="F1" s="41"/>
      <c r="G1" s="41"/>
      <c r="H1" s="41"/>
      <c r="J1" s="8"/>
      <c r="K1" s="8"/>
      <c r="L1" s="8"/>
    </row>
    <row r="2" spans="1:12" ht="20.100000000000001" customHeight="1" thickBot="1" x14ac:dyDescent="0.2">
      <c r="B2" s="44" t="s">
        <v>8</v>
      </c>
      <c r="C2" s="45"/>
      <c r="D2" s="46"/>
      <c r="E2" s="46"/>
      <c r="F2" s="46"/>
      <c r="G2" s="46"/>
      <c r="H2" s="47"/>
      <c r="K2" s="9" t="s">
        <v>4</v>
      </c>
      <c r="L2" s="5">
        <f>H45</f>
        <v>0</v>
      </c>
    </row>
    <row r="3" spans="1:12" ht="20.100000000000001" customHeight="1" x14ac:dyDescent="0.15">
      <c r="B3" s="42" t="s">
        <v>3</v>
      </c>
      <c r="C3" s="43"/>
      <c r="D3" s="10" t="s">
        <v>1</v>
      </c>
      <c r="E3" s="10" t="s">
        <v>2</v>
      </c>
      <c r="F3" s="11" t="s">
        <v>0</v>
      </c>
      <c r="G3" s="10" t="s">
        <v>12</v>
      </c>
      <c r="H3" s="12" t="s">
        <v>14</v>
      </c>
      <c r="K3" s="9" t="s">
        <v>5</v>
      </c>
      <c r="L3" s="3">
        <f>H46</f>
        <v>0</v>
      </c>
    </row>
    <row r="4" spans="1:12" ht="17.45" customHeight="1" x14ac:dyDescent="0.15">
      <c r="A4" s="6" t="str">
        <f>IF(OR(AND(D4="",E4=""),AND(D4&lt;&gt;"",E4&lt;&gt;"")),"","◆")</f>
        <v/>
      </c>
      <c r="B4" s="26">
        <v>1</v>
      </c>
      <c r="C4" s="32"/>
      <c r="D4" s="33"/>
      <c r="E4" s="33"/>
      <c r="F4" s="36" t="s">
        <v>6</v>
      </c>
      <c r="G4" s="27" t="str">
        <f>IF(AND(D4&lt;&gt;"",E4&lt;&gt;"",D5&lt;&gt;"",E5&lt;&gt;"",D6&lt;&gt;"",E6&lt;&gt;""),E5-INDEX(E:E,COUNTA(E:E)+1,1),"")</f>
        <v/>
      </c>
      <c r="H4" s="28" t="str">
        <f>IF(G4&lt;&gt;"",D4*G4,"")</f>
        <v/>
      </c>
    </row>
    <row r="5" spans="1:12" ht="17.45" customHeight="1" x14ac:dyDescent="0.15">
      <c r="A5" s="6" t="str">
        <f t="shared" ref="A5:A43" si="0">IF(OR(AND(D5="",E5=""),AND(D5&lt;&gt;"",E5&lt;&gt;"")),"","◆")</f>
        <v/>
      </c>
      <c r="B5" s="29">
        <v>2</v>
      </c>
      <c r="C5" s="34"/>
      <c r="D5" s="35"/>
      <c r="E5" s="35"/>
      <c r="F5" s="30" t="str">
        <f>IF(AND(D5&lt;&gt;"",E5&lt;&gt;"",D4&lt;&gt;"",E5&lt;&gt;""),ROUNDDOWN(SQRT((D4-D5)^2+(E4-E5)^2),3),"")</f>
        <v/>
      </c>
      <c r="G5" s="30" t="str">
        <f>IF(AND(D5&lt;&gt;"",E5&lt;&gt;"",D6&lt;&gt;"",E6&lt;&gt;""),E6-E4,IF(AND(D5&lt;&gt;"",E5&lt;&gt;"",D6="",E6="",G4&lt;&gt;""),E$4-E4,""))</f>
        <v/>
      </c>
      <c r="H5" s="31" t="str">
        <f>IF(G5&lt;&gt;"",D5*G5,"")</f>
        <v/>
      </c>
      <c r="J5" s="7" t="s">
        <v>9</v>
      </c>
    </row>
    <row r="6" spans="1:12" ht="17.45" customHeight="1" x14ac:dyDescent="0.15">
      <c r="A6" s="6" t="str">
        <f t="shared" si="0"/>
        <v/>
      </c>
      <c r="B6" s="29">
        <v>3</v>
      </c>
      <c r="C6" s="34"/>
      <c r="D6" s="35"/>
      <c r="E6" s="35"/>
      <c r="F6" s="30" t="str">
        <f t="shared" ref="F6" si="1">IF(AND(D6&lt;&gt;"",E6&lt;&gt;"",D5&lt;&gt;"",E6&lt;&gt;""),ROUNDDOWN(SQRT((D5-D6)^2+(E5-E6)^2),3),"")</f>
        <v/>
      </c>
      <c r="G6" s="30" t="str">
        <f t="shared" ref="G6:G43" si="2">IF(AND(D6&lt;&gt;"",E6&lt;&gt;"",D7&lt;&gt;"",E7&lt;&gt;""),E7-E5,IF(AND(D6&lt;&gt;"",E6&lt;&gt;"",D7="",E7="",G5&lt;&gt;""),E$4-E5,""))</f>
        <v/>
      </c>
      <c r="H6" s="31" t="str">
        <f>IF(G6&lt;&gt;"",D6*G6,"")</f>
        <v/>
      </c>
      <c r="J6" s="7" t="s">
        <v>10</v>
      </c>
    </row>
    <row r="7" spans="1:12" ht="17.45" customHeight="1" x14ac:dyDescent="0.15">
      <c r="A7" s="6" t="str">
        <f t="shared" si="0"/>
        <v/>
      </c>
      <c r="B7" s="29" t="str">
        <f>IF(AND(D7&lt;&gt;"",E7&lt;&gt;""),B6+1,"")</f>
        <v/>
      </c>
      <c r="C7" s="34"/>
      <c r="D7" s="35"/>
      <c r="E7" s="35"/>
      <c r="F7" s="30" t="str">
        <f>IF(AND(D7&lt;&gt;"",E7&lt;&gt;"",D6&lt;&gt;"",E7&lt;&gt;""),ROUNDDOWN(SQRT((D6-D7)^2+(E6-E7)^2),3),IF(AND(D7="",E7="",D6&lt;&gt;"",E6&lt;&gt;""),ROUNDDOWN(SQRT((D6-D$4)^2+(E6-E$4)^2),3),""))</f>
        <v/>
      </c>
      <c r="G7" s="30" t="str">
        <f t="shared" si="2"/>
        <v/>
      </c>
      <c r="H7" s="31" t="str">
        <f t="shared" ref="H7:H8" si="3">IF(G7&lt;&gt;"",D7*G7,"")</f>
        <v/>
      </c>
      <c r="J7" s="13" t="s">
        <v>11</v>
      </c>
    </row>
    <row r="8" spans="1:12" ht="17.45" customHeight="1" x14ac:dyDescent="0.15">
      <c r="A8" s="6" t="str">
        <f t="shared" si="0"/>
        <v/>
      </c>
      <c r="B8" s="29" t="str">
        <f t="shared" ref="B8:B43" si="4">IF(AND(D8&lt;&gt;"",E8&lt;&gt;""),B7+1,"")</f>
        <v/>
      </c>
      <c r="C8" s="34"/>
      <c r="D8" s="35"/>
      <c r="E8" s="35"/>
      <c r="F8" s="30" t="str">
        <f t="shared" ref="F8:F44" si="5">IF(AND(D8&lt;&gt;"",E8&lt;&gt;"",D7&lt;&gt;"",E8&lt;&gt;""),ROUNDDOWN(SQRT((D7-D8)^2+(E7-E8)^2),3),IF(AND(D8="",E8="",D7&lt;&gt;"",E7&lt;&gt;""),ROUNDDOWN(SQRT((D7-D$4)^2+(E7-E$4)^2),3),""))</f>
        <v/>
      </c>
      <c r="G8" s="30" t="str">
        <f t="shared" si="2"/>
        <v/>
      </c>
      <c r="H8" s="31" t="str">
        <f t="shared" si="3"/>
        <v/>
      </c>
    </row>
    <row r="9" spans="1:12" ht="17.45" customHeight="1" x14ac:dyDescent="0.15">
      <c r="A9" s="6" t="str">
        <f t="shared" si="0"/>
        <v/>
      </c>
      <c r="B9" s="29" t="str">
        <f t="shared" si="4"/>
        <v/>
      </c>
      <c r="C9" s="34"/>
      <c r="D9" s="35"/>
      <c r="E9" s="35"/>
      <c r="F9" s="30" t="str">
        <f t="shared" si="5"/>
        <v/>
      </c>
      <c r="G9" s="30" t="str">
        <f t="shared" si="2"/>
        <v/>
      </c>
      <c r="H9" s="31" t="str">
        <f t="shared" ref="H9:H26" si="6">IF(G9&lt;&gt;"",D9*G9,"")</f>
        <v/>
      </c>
    </row>
    <row r="10" spans="1:12" ht="17.45" customHeight="1" x14ac:dyDescent="0.15">
      <c r="A10" s="6" t="str">
        <f t="shared" si="0"/>
        <v/>
      </c>
      <c r="B10" s="29" t="str">
        <f t="shared" si="4"/>
        <v/>
      </c>
      <c r="C10" s="34"/>
      <c r="D10" s="35"/>
      <c r="E10" s="35"/>
      <c r="F10" s="30" t="str">
        <f t="shared" si="5"/>
        <v/>
      </c>
      <c r="G10" s="30" t="str">
        <f t="shared" si="2"/>
        <v/>
      </c>
      <c r="H10" s="31" t="str">
        <f t="shared" si="6"/>
        <v/>
      </c>
    </row>
    <row r="11" spans="1:12" ht="17.45" customHeight="1" x14ac:dyDescent="0.15">
      <c r="A11" s="6" t="str">
        <f t="shared" si="0"/>
        <v/>
      </c>
      <c r="B11" s="29" t="str">
        <f t="shared" si="4"/>
        <v/>
      </c>
      <c r="C11" s="34"/>
      <c r="D11" s="35"/>
      <c r="E11" s="35"/>
      <c r="F11" s="30" t="str">
        <f t="shared" si="5"/>
        <v/>
      </c>
      <c r="G11" s="30" t="str">
        <f t="shared" si="2"/>
        <v/>
      </c>
      <c r="H11" s="31" t="str">
        <f t="shared" si="6"/>
        <v/>
      </c>
    </row>
    <row r="12" spans="1:12" ht="17.45" customHeight="1" x14ac:dyDescent="0.15">
      <c r="A12" s="6" t="str">
        <f t="shared" si="0"/>
        <v/>
      </c>
      <c r="B12" s="29" t="str">
        <f t="shared" si="4"/>
        <v/>
      </c>
      <c r="C12" s="34"/>
      <c r="D12" s="35"/>
      <c r="E12" s="35"/>
      <c r="F12" s="30" t="str">
        <f t="shared" si="5"/>
        <v/>
      </c>
      <c r="G12" s="30" t="str">
        <f t="shared" si="2"/>
        <v/>
      </c>
      <c r="H12" s="31" t="str">
        <f t="shared" si="6"/>
        <v/>
      </c>
    </row>
    <row r="13" spans="1:12" ht="17.45" customHeight="1" x14ac:dyDescent="0.15">
      <c r="A13" s="6" t="str">
        <f t="shared" si="0"/>
        <v/>
      </c>
      <c r="B13" s="29" t="str">
        <f t="shared" si="4"/>
        <v/>
      </c>
      <c r="C13" s="34"/>
      <c r="D13" s="35"/>
      <c r="E13" s="35"/>
      <c r="F13" s="30" t="str">
        <f t="shared" si="5"/>
        <v/>
      </c>
      <c r="G13" s="30" t="str">
        <f t="shared" si="2"/>
        <v/>
      </c>
      <c r="H13" s="31" t="str">
        <f t="shared" si="6"/>
        <v/>
      </c>
    </row>
    <row r="14" spans="1:12" ht="17.45" customHeight="1" x14ac:dyDescent="0.15">
      <c r="A14" s="6" t="str">
        <f t="shared" si="0"/>
        <v/>
      </c>
      <c r="B14" s="29" t="str">
        <f t="shared" si="4"/>
        <v/>
      </c>
      <c r="C14" s="34"/>
      <c r="D14" s="35"/>
      <c r="E14" s="35"/>
      <c r="F14" s="30" t="str">
        <f t="shared" si="5"/>
        <v/>
      </c>
      <c r="G14" s="30" t="str">
        <f t="shared" si="2"/>
        <v/>
      </c>
      <c r="H14" s="31" t="str">
        <f t="shared" si="6"/>
        <v/>
      </c>
    </row>
    <row r="15" spans="1:12" ht="17.45" customHeight="1" x14ac:dyDescent="0.15">
      <c r="A15" s="6" t="str">
        <f t="shared" si="0"/>
        <v/>
      </c>
      <c r="B15" s="29" t="str">
        <f t="shared" si="4"/>
        <v/>
      </c>
      <c r="C15" s="34"/>
      <c r="D15" s="35"/>
      <c r="E15" s="35"/>
      <c r="F15" s="30" t="str">
        <f t="shared" si="5"/>
        <v/>
      </c>
      <c r="G15" s="30" t="str">
        <f t="shared" si="2"/>
        <v/>
      </c>
      <c r="H15" s="31" t="str">
        <f t="shared" si="6"/>
        <v/>
      </c>
    </row>
    <row r="16" spans="1:12" ht="17.45" customHeight="1" x14ac:dyDescent="0.15">
      <c r="A16" s="6" t="str">
        <f t="shared" si="0"/>
        <v/>
      </c>
      <c r="B16" s="29" t="str">
        <f t="shared" si="4"/>
        <v/>
      </c>
      <c r="C16" s="34"/>
      <c r="D16" s="35"/>
      <c r="E16" s="35"/>
      <c r="F16" s="30" t="str">
        <f t="shared" si="5"/>
        <v/>
      </c>
      <c r="G16" s="30" t="str">
        <f t="shared" si="2"/>
        <v/>
      </c>
      <c r="H16" s="31" t="str">
        <f t="shared" si="6"/>
        <v/>
      </c>
    </row>
    <row r="17" spans="1:8" ht="17.45" customHeight="1" x14ac:dyDescent="0.15">
      <c r="A17" s="6" t="str">
        <f t="shared" si="0"/>
        <v/>
      </c>
      <c r="B17" s="29" t="str">
        <f t="shared" si="4"/>
        <v/>
      </c>
      <c r="C17" s="34"/>
      <c r="D17" s="35"/>
      <c r="E17" s="35"/>
      <c r="F17" s="30" t="str">
        <f t="shared" si="5"/>
        <v/>
      </c>
      <c r="G17" s="30" t="str">
        <f t="shared" si="2"/>
        <v/>
      </c>
      <c r="H17" s="31" t="str">
        <f t="shared" si="6"/>
        <v/>
      </c>
    </row>
    <row r="18" spans="1:8" ht="17.45" customHeight="1" x14ac:dyDescent="0.15">
      <c r="A18" s="6" t="str">
        <f t="shared" si="0"/>
        <v/>
      </c>
      <c r="B18" s="29" t="str">
        <f t="shared" si="4"/>
        <v/>
      </c>
      <c r="C18" s="34"/>
      <c r="D18" s="35"/>
      <c r="E18" s="35"/>
      <c r="F18" s="30" t="str">
        <f t="shared" si="5"/>
        <v/>
      </c>
      <c r="G18" s="30" t="str">
        <f t="shared" si="2"/>
        <v/>
      </c>
      <c r="H18" s="31" t="str">
        <f t="shared" si="6"/>
        <v/>
      </c>
    </row>
    <row r="19" spans="1:8" ht="17.45" customHeight="1" x14ac:dyDescent="0.15">
      <c r="A19" s="6" t="str">
        <f t="shared" si="0"/>
        <v/>
      </c>
      <c r="B19" s="29" t="str">
        <f t="shared" si="4"/>
        <v/>
      </c>
      <c r="C19" s="34"/>
      <c r="D19" s="35"/>
      <c r="E19" s="35"/>
      <c r="F19" s="30" t="str">
        <f t="shared" si="5"/>
        <v/>
      </c>
      <c r="G19" s="30" t="str">
        <f t="shared" si="2"/>
        <v/>
      </c>
      <c r="H19" s="31" t="str">
        <f t="shared" si="6"/>
        <v/>
      </c>
    </row>
    <row r="20" spans="1:8" ht="17.45" customHeight="1" x14ac:dyDescent="0.15">
      <c r="A20" s="6" t="str">
        <f t="shared" si="0"/>
        <v/>
      </c>
      <c r="B20" s="29" t="str">
        <f t="shared" si="4"/>
        <v/>
      </c>
      <c r="C20" s="34"/>
      <c r="D20" s="35"/>
      <c r="E20" s="35"/>
      <c r="F20" s="30" t="str">
        <f t="shared" si="5"/>
        <v/>
      </c>
      <c r="G20" s="30" t="str">
        <f t="shared" si="2"/>
        <v/>
      </c>
      <c r="H20" s="31" t="str">
        <f t="shared" si="6"/>
        <v/>
      </c>
    </row>
    <row r="21" spans="1:8" ht="17.45" customHeight="1" x14ac:dyDescent="0.15">
      <c r="A21" s="6" t="str">
        <f t="shared" si="0"/>
        <v/>
      </c>
      <c r="B21" s="29" t="str">
        <f t="shared" si="4"/>
        <v/>
      </c>
      <c r="C21" s="34"/>
      <c r="D21" s="35"/>
      <c r="E21" s="35"/>
      <c r="F21" s="30" t="str">
        <f t="shared" si="5"/>
        <v/>
      </c>
      <c r="G21" s="30" t="str">
        <f t="shared" si="2"/>
        <v/>
      </c>
      <c r="H21" s="31" t="str">
        <f t="shared" si="6"/>
        <v/>
      </c>
    </row>
    <row r="22" spans="1:8" ht="17.45" customHeight="1" x14ac:dyDescent="0.15">
      <c r="A22" s="6" t="str">
        <f t="shared" si="0"/>
        <v/>
      </c>
      <c r="B22" s="29" t="str">
        <f t="shared" si="4"/>
        <v/>
      </c>
      <c r="C22" s="34"/>
      <c r="D22" s="35"/>
      <c r="E22" s="35"/>
      <c r="F22" s="30" t="str">
        <f t="shared" si="5"/>
        <v/>
      </c>
      <c r="G22" s="30" t="str">
        <f t="shared" si="2"/>
        <v/>
      </c>
      <c r="H22" s="31" t="str">
        <f t="shared" si="6"/>
        <v/>
      </c>
    </row>
    <row r="23" spans="1:8" ht="17.45" customHeight="1" x14ac:dyDescent="0.15">
      <c r="A23" s="6" t="str">
        <f t="shared" si="0"/>
        <v/>
      </c>
      <c r="B23" s="29" t="str">
        <f t="shared" si="4"/>
        <v/>
      </c>
      <c r="C23" s="34"/>
      <c r="D23" s="35"/>
      <c r="E23" s="35"/>
      <c r="F23" s="30" t="str">
        <f t="shared" si="5"/>
        <v/>
      </c>
      <c r="G23" s="30" t="str">
        <f t="shared" si="2"/>
        <v/>
      </c>
      <c r="H23" s="31" t="str">
        <f t="shared" si="6"/>
        <v/>
      </c>
    </row>
    <row r="24" spans="1:8" ht="17.45" customHeight="1" x14ac:dyDescent="0.15">
      <c r="A24" s="6" t="str">
        <f t="shared" si="0"/>
        <v/>
      </c>
      <c r="B24" s="29" t="str">
        <f t="shared" si="4"/>
        <v/>
      </c>
      <c r="C24" s="34"/>
      <c r="D24" s="35"/>
      <c r="E24" s="35"/>
      <c r="F24" s="30" t="str">
        <f t="shared" si="5"/>
        <v/>
      </c>
      <c r="G24" s="30" t="str">
        <f t="shared" si="2"/>
        <v/>
      </c>
      <c r="H24" s="31" t="str">
        <f t="shared" si="6"/>
        <v/>
      </c>
    </row>
    <row r="25" spans="1:8" ht="17.45" customHeight="1" x14ac:dyDescent="0.15">
      <c r="A25" s="6" t="str">
        <f t="shared" si="0"/>
        <v/>
      </c>
      <c r="B25" s="29" t="str">
        <f t="shared" si="4"/>
        <v/>
      </c>
      <c r="C25" s="34"/>
      <c r="D25" s="35"/>
      <c r="E25" s="35"/>
      <c r="F25" s="30" t="str">
        <f t="shared" si="5"/>
        <v/>
      </c>
      <c r="G25" s="30" t="str">
        <f t="shared" si="2"/>
        <v/>
      </c>
      <c r="H25" s="31" t="str">
        <f t="shared" si="6"/>
        <v/>
      </c>
    </row>
    <row r="26" spans="1:8" ht="17.45" customHeight="1" x14ac:dyDescent="0.15">
      <c r="A26" s="6" t="str">
        <f t="shared" si="0"/>
        <v/>
      </c>
      <c r="B26" s="29" t="str">
        <f t="shared" si="4"/>
        <v/>
      </c>
      <c r="C26" s="34"/>
      <c r="D26" s="35"/>
      <c r="E26" s="35"/>
      <c r="F26" s="30" t="str">
        <f t="shared" si="5"/>
        <v/>
      </c>
      <c r="G26" s="30" t="str">
        <f t="shared" si="2"/>
        <v/>
      </c>
      <c r="H26" s="31" t="str">
        <f t="shared" si="6"/>
        <v/>
      </c>
    </row>
    <row r="27" spans="1:8" ht="17.45" customHeight="1" x14ac:dyDescent="0.15">
      <c r="A27" s="6" t="str">
        <f t="shared" si="0"/>
        <v/>
      </c>
      <c r="B27" s="29" t="str">
        <f t="shared" si="4"/>
        <v/>
      </c>
      <c r="C27" s="34"/>
      <c r="D27" s="35"/>
      <c r="E27" s="35"/>
      <c r="F27" s="30" t="str">
        <f t="shared" si="5"/>
        <v/>
      </c>
      <c r="G27" s="30" t="str">
        <f t="shared" si="2"/>
        <v/>
      </c>
      <c r="H27" s="31" t="str">
        <f t="shared" ref="H27:H43" si="7">IF(G27&lt;&gt;"",D27*G27,"")</f>
        <v/>
      </c>
    </row>
    <row r="28" spans="1:8" ht="17.45" customHeight="1" x14ac:dyDescent="0.15">
      <c r="A28" s="6" t="str">
        <f t="shared" si="0"/>
        <v/>
      </c>
      <c r="B28" s="29" t="str">
        <f t="shared" si="4"/>
        <v/>
      </c>
      <c r="C28" s="34"/>
      <c r="D28" s="35"/>
      <c r="E28" s="35"/>
      <c r="F28" s="30" t="str">
        <f t="shared" si="5"/>
        <v/>
      </c>
      <c r="G28" s="30" t="str">
        <f t="shared" si="2"/>
        <v/>
      </c>
      <c r="H28" s="31" t="str">
        <f t="shared" si="7"/>
        <v/>
      </c>
    </row>
    <row r="29" spans="1:8" ht="17.45" customHeight="1" x14ac:dyDescent="0.15">
      <c r="A29" s="6" t="str">
        <f t="shared" si="0"/>
        <v/>
      </c>
      <c r="B29" s="29" t="str">
        <f t="shared" si="4"/>
        <v/>
      </c>
      <c r="C29" s="34"/>
      <c r="D29" s="35"/>
      <c r="E29" s="35"/>
      <c r="F29" s="30" t="str">
        <f t="shared" si="5"/>
        <v/>
      </c>
      <c r="G29" s="30" t="str">
        <f t="shared" si="2"/>
        <v/>
      </c>
      <c r="H29" s="31" t="str">
        <f t="shared" si="7"/>
        <v/>
      </c>
    </row>
    <row r="30" spans="1:8" ht="17.45" customHeight="1" x14ac:dyDescent="0.15">
      <c r="A30" s="6" t="str">
        <f t="shared" si="0"/>
        <v/>
      </c>
      <c r="B30" s="29" t="str">
        <f t="shared" si="4"/>
        <v/>
      </c>
      <c r="C30" s="34"/>
      <c r="D30" s="35"/>
      <c r="E30" s="35"/>
      <c r="F30" s="30" t="str">
        <f t="shared" si="5"/>
        <v/>
      </c>
      <c r="G30" s="30" t="str">
        <f t="shared" si="2"/>
        <v/>
      </c>
      <c r="H30" s="31" t="str">
        <f t="shared" si="7"/>
        <v/>
      </c>
    </row>
    <row r="31" spans="1:8" ht="17.45" customHeight="1" x14ac:dyDescent="0.15">
      <c r="A31" s="6" t="str">
        <f t="shared" si="0"/>
        <v/>
      </c>
      <c r="B31" s="29" t="str">
        <f t="shared" si="4"/>
        <v/>
      </c>
      <c r="C31" s="34"/>
      <c r="D31" s="35"/>
      <c r="E31" s="35"/>
      <c r="F31" s="30" t="str">
        <f t="shared" si="5"/>
        <v/>
      </c>
      <c r="G31" s="30" t="str">
        <f t="shared" si="2"/>
        <v/>
      </c>
      <c r="H31" s="31" t="str">
        <f t="shared" si="7"/>
        <v/>
      </c>
    </row>
    <row r="32" spans="1:8" ht="17.45" customHeight="1" x14ac:dyDescent="0.15">
      <c r="A32" s="6" t="str">
        <f t="shared" si="0"/>
        <v/>
      </c>
      <c r="B32" s="29" t="str">
        <f t="shared" si="4"/>
        <v/>
      </c>
      <c r="C32" s="34"/>
      <c r="D32" s="35"/>
      <c r="E32" s="35"/>
      <c r="F32" s="30" t="str">
        <f t="shared" si="5"/>
        <v/>
      </c>
      <c r="G32" s="30" t="str">
        <f t="shared" si="2"/>
        <v/>
      </c>
      <c r="H32" s="31" t="str">
        <f t="shared" si="7"/>
        <v/>
      </c>
    </row>
    <row r="33" spans="1:8" ht="17.45" customHeight="1" x14ac:dyDescent="0.15">
      <c r="A33" s="6" t="str">
        <f t="shared" si="0"/>
        <v/>
      </c>
      <c r="B33" s="29" t="str">
        <f t="shared" si="4"/>
        <v/>
      </c>
      <c r="C33" s="34"/>
      <c r="D33" s="35"/>
      <c r="E33" s="35"/>
      <c r="F33" s="30" t="str">
        <f t="shared" si="5"/>
        <v/>
      </c>
      <c r="G33" s="30" t="str">
        <f t="shared" si="2"/>
        <v/>
      </c>
      <c r="H33" s="31" t="str">
        <f t="shared" si="7"/>
        <v/>
      </c>
    </row>
    <row r="34" spans="1:8" ht="17.45" customHeight="1" x14ac:dyDescent="0.15">
      <c r="A34" s="6" t="str">
        <f t="shared" si="0"/>
        <v/>
      </c>
      <c r="B34" s="29" t="str">
        <f t="shared" si="4"/>
        <v/>
      </c>
      <c r="C34" s="34"/>
      <c r="D34" s="35"/>
      <c r="E34" s="35"/>
      <c r="F34" s="30" t="str">
        <f t="shared" si="5"/>
        <v/>
      </c>
      <c r="G34" s="30" t="str">
        <f t="shared" si="2"/>
        <v/>
      </c>
      <c r="H34" s="31" t="str">
        <f t="shared" si="7"/>
        <v/>
      </c>
    </row>
    <row r="35" spans="1:8" ht="17.45" customHeight="1" x14ac:dyDescent="0.15">
      <c r="A35" s="6" t="str">
        <f t="shared" si="0"/>
        <v/>
      </c>
      <c r="B35" s="29" t="str">
        <f t="shared" si="4"/>
        <v/>
      </c>
      <c r="C35" s="34"/>
      <c r="D35" s="35"/>
      <c r="E35" s="35"/>
      <c r="F35" s="30" t="str">
        <f t="shared" si="5"/>
        <v/>
      </c>
      <c r="G35" s="30" t="str">
        <f t="shared" si="2"/>
        <v/>
      </c>
      <c r="H35" s="31" t="str">
        <f t="shared" si="7"/>
        <v/>
      </c>
    </row>
    <row r="36" spans="1:8" ht="17.45" customHeight="1" x14ac:dyDescent="0.15">
      <c r="A36" s="6" t="str">
        <f t="shared" si="0"/>
        <v/>
      </c>
      <c r="B36" s="29" t="str">
        <f t="shared" si="4"/>
        <v/>
      </c>
      <c r="C36" s="34"/>
      <c r="D36" s="35"/>
      <c r="E36" s="35"/>
      <c r="F36" s="30" t="str">
        <f t="shared" si="5"/>
        <v/>
      </c>
      <c r="G36" s="30" t="str">
        <f t="shared" si="2"/>
        <v/>
      </c>
      <c r="H36" s="31" t="str">
        <f t="shared" si="7"/>
        <v/>
      </c>
    </row>
    <row r="37" spans="1:8" ht="17.45" customHeight="1" x14ac:dyDescent="0.15">
      <c r="A37" s="6" t="str">
        <f t="shared" si="0"/>
        <v/>
      </c>
      <c r="B37" s="29" t="str">
        <f t="shared" si="4"/>
        <v/>
      </c>
      <c r="C37" s="34"/>
      <c r="D37" s="35"/>
      <c r="E37" s="35"/>
      <c r="F37" s="30" t="str">
        <f t="shared" si="5"/>
        <v/>
      </c>
      <c r="G37" s="30" t="str">
        <f t="shared" si="2"/>
        <v/>
      </c>
      <c r="H37" s="31" t="str">
        <f t="shared" si="7"/>
        <v/>
      </c>
    </row>
    <row r="38" spans="1:8" ht="17.45" customHeight="1" x14ac:dyDescent="0.15">
      <c r="A38" s="6" t="str">
        <f t="shared" si="0"/>
        <v/>
      </c>
      <c r="B38" s="29" t="str">
        <f t="shared" si="4"/>
        <v/>
      </c>
      <c r="C38" s="34"/>
      <c r="D38" s="35"/>
      <c r="E38" s="35"/>
      <c r="F38" s="30" t="str">
        <f t="shared" si="5"/>
        <v/>
      </c>
      <c r="G38" s="30" t="str">
        <f t="shared" si="2"/>
        <v/>
      </c>
      <c r="H38" s="31" t="str">
        <f t="shared" si="7"/>
        <v/>
      </c>
    </row>
    <row r="39" spans="1:8" ht="17.45" customHeight="1" x14ac:dyDescent="0.15">
      <c r="A39" s="6" t="str">
        <f t="shared" si="0"/>
        <v/>
      </c>
      <c r="B39" s="29" t="str">
        <f t="shared" si="4"/>
        <v/>
      </c>
      <c r="C39" s="34"/>
      <c r="D39" s="35"/>
      <c r="E39" s="35"/>
      <c r="F39" s="30" t="str">
        <f t="shared" si="5"/>
        <v/>
      </c>
      <c r="G39" s="30" t="str">
        <f t="shared" si="2"/>
        <v/>
      </c>
      <c r="H39" s="31" t="str">
        <f t="shared" si="7"/>
        <v/>
      </c>
    </row>
    <row r="40" spans="1:8" ht="17.45" customHeight="1" x14ac:dyDescent="0.15">
      <c r="A40" s="6" t="str">
        <f t="shared" si="0"/>
        <v/>
      </c>
      <c r="B40" s="29" t="str">
        <f t="shared" si="4"/>
        <v/>
      </c>
      <c r="C40" s="34"/>
      <c r="D40" s="35"/>
      <c r="E40" s="35"/>
      <c r="F40" s="30" t="str">
        <f t="shared" si="5"/>
        <v/>
      </c>
      <c r="G40" s="30" t="str">
        <f t="shared" si="2"/>
        <v/>
      </c>
      <c r="H40" s="31" t="str">
        <f t="shared" si="7"/>
        <v/>
      </c>
    </row>
    <row r="41" spans="1:8" ht="17.45" customHeight="1" x14ac:dyDescent="0.15">
      <c r="A41" s="6" t="str">
        <f t="shared" si="0"/>
        <v/>
      </c>
      <c r="B41" s="29" t="str">
        <f t="shared" si="4"/>
        <v/>
      </c>
      <c r="C41" s="34"/>
      <c r="D41" s="35"/>
      <c r="E41" s="35"/>
      <c r="F41" s="30" t="str">
        <f t="shared" si="5"/>
        <v/>
      </c>
      <c r="G41" s="30" t="str">
        <f t="shared" si="2"/>
        <v/>
      </c>
      <c r="H41" s="31" t="str">
        <f t="shared" si="7"/>
        <v/>
      </c>
    </row>
    <row r="42" spans="1:8" ht="17.45" customHeight="1" x14ac:dyDescent="0.15">
      <c r="A42" s="6" t="str">
        <f t="shared" si="0"/>
        <v/>
      </c>
      <c r="B42" s="29" t="str">
        <f t="shared" si="4"/>
        <v/>
      </c>
      <c r="C42" s="34"/>
      <c r="D42" s="35"/>
      <c r="E42" s="35"/>
      <c r="F42" s="30" t="str">
        <f t="shared" si="5"/>
        <v/>
      </c>
      <c r="G42" s="30" t="str">
        <f t="shared" si="2"/>
        <v/>
      </c>
      <c r="H42" s="31" t="str">
        <f t="shared" si="7"/>
        <v/>
      </c>
    </row>
    <row r="43" spans="1:8" ht="17.45" customHeight="1" x14ac:dyDescent="0.15">
      <c r="A43" s="6" t="str">
        <f t="shared" si="0"/>
        <v/>
      </c>
      <c r="B43" s="29" t="str">
        <f t="shared" si="4"/>
        <v/>
      </c>
      <c r="C43" s="34"/>
      <c r="D43" s="35"/>
      <c r="E43" s="35"/>
      <c r="F43" s="30" t="str">
        <f t="shared" si="5"/>
        <v/>
      </c>
      <c r="G43" s="30" t="str">
        <f t="shared" si="2"/>
        <v/>
      </c>
      <c r="H43" s="31" t="str">
        <f t="shared" si="7"/>
        <v/>
      </c>
    </row>
    <row r="44" spans="1:8" ht="17.45" customHeight="1" thickBot="1" x14ac:dyDescent="0.2">
      <c r="B44" s="40" t="s" ph="1">
        <v>13</v>
      </c>
      <c r="C44" s="38" t="s">
        <v>6</v>
      </c>
      <c r="D44" s="38" t="s">
        <v>6</v>
      </c>
      <c r="E44" s="38" t="s">
        <v>6</v>
      </c>
      <c r="F44" s="37" t="str">
        <f t="shared" si="5"/>
        <v/>
      </c>
      <c r="G44" s="38" t="s">
        <v>6</v>
      </c>
      <c r="H44" s="39" t="s">
        <v>6</v>
      </c>
    </row>
    <row r="45" spans="1:8" ht="17.45" customHeight="1" x14ac:dyDescent="0.15">
      <c r="B45" s="14"/>
      <c r="C45" s="15"/>
      <c r="D45" s="16"/>
      <c r="E45" s="16"/>
      <c r="F45" s="25"/>
      <c r="G45" s="17" t="s">
        <v>4</v>
      </c>
      <c r="H45" s="4">
        <f>SUM(H4:H43)</f>
        <v>0</v>
      </c>
    </row>
    <row r="46" spans="1:8" ht="17.45" customHeight="1" thickBot="1" x14ac:dyDescent="0.2">
      <c r="B46" s="18"/>
      <c r="C46" s="19"/>
      <c r="D46" s="20"/>
      <c r="E46" s="20"/>
      <c r="F46" s="21"/>
      <c r="G46" s="22" t="s">
        <v>5</v>
      </c>
      <c r="H46" s="1">
        <f>ABS(H45/2)</f>
        <v>0</v>
      </c>
    </row>
    <row r="47" spans="1:8" x14ac:dyDescent="0.15">
      <c r="F47" s="24"/>
    </row>
  </sheetData>
  <sheetProtection sheet="1" objects="1" scenarios="1"/>
  <mergeCells count="4">
    <mergeCell ref="B1:H1"/>
    <mergeCell ref="B3:C3"/>
    <mergeCell ref="B2:C2"/>
    <mergeCell ref="D2:H2"/>
  </mergeCells>
  <phoneticPr fontId="1"/>
  <hyperlinks>
    <hyperlink ref="J7" r:id="rId1" xr:uid="{00000000-0004-0000-0000-000000000000}"/>
  </hyperlinks>
  <printOptions horizontalCentered="1" verticalCentered="1"/>
  <pageMargins left="0.70866141732283472" right="0.70866141732283472" top="0.59055118110236227" bottom="0.59055118110236227" header="0.31496062992125984" footer="0.31496062992125984"/>
  <pageSetup paperSize="9" orientation="portrait" blackAndWhite="1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</dc:creator>
  <cp:lastModifiedBy>kmr</cp:lastModifiedBy>
  <cp:lastPrinted>2015-06-25T07:11:59Z</cp:lastPrinted>
  <dcterms:created xsi:type="dcterms:W3CDTF">2015-06-25T00:47:03Z</dcterms:created>
  <dcterms:modified xsi:type="dcterms:W3CDTF">2018-09-27T06:38:31Z</dcterms:modified>
</cp:coreProperties>
</file>